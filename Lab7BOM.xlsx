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obya\Desktop\ECE445L\lab-7-and-10-rasists\"/>
    </mc:Choice>
  </mc:AlternateContent>
  <xr:revisionPtr revIDLastSave="0" documentId="13_ncr:1_{030BF4CD-AE0D-4BF0-BAEA-DBE324640E16}" xr6:coauthVersionLast="47" xr6:coauthVersionMax="47" xr10:uidLastSave="{00000000-0000-0000-0000-000000000000}"/>
  <bookViews>
    <workbookView xWindow="-108" yWindow="-108" windowWidth="23256" windowHeight="12456" xr2:uid="{2A746B91-5B93-4559-A98B-A0C4C3CDA5C8}"/>
  </bookViews>
  <sheets>
    <sheet name="Parts" sheetId="1" r:id="rId1"/>
    <sheet name="Sheet3" sheetId="3" r:id="rId2"/>
  </sheets>
  <definedNames>
    <definedName name="_xlnm._FilterDatabase" localSheetId="0" hidden="1">Parts!$A$5:$I$34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ECE_IT</author>
  </authors>
  <commentList>
    <comment ref="A4" authorId="0" shapeId="0" xr:uid="{E70392B2-6789-476A-911C-3656028CE6B6}">
      <text>
        <r>
          <rPr>
            <b/>
            <sz val="8"/>
            <color indexed="81"/>
            <rFont val="Tahoma"/>
            <family val="2"/>
          </rPr>
          <t>ECE_IT:</t>
        </r>
        <r>
          <rPr>
            <sz val="8"/>
            <color indexed="81"/>
            <rFont val="Tahoma"/>
            <family val="2"/>
          </rPr>
          <t xml:space="preserve">
How many are on your board. If 0, it should probably not clutter your bom up…
</t>
        </r>
      </text>
    </comment>
    <comment ref="B4" authorId="0" shapeId="0" xr:uid="{790CA1D8-476C-4D7B-84A8-F0C918541FF9}">
      <text>
        <r>
          <rPr>
            <b/>
            <sz val="8"/>
            <color indexed="81"/>
            <rFont val="Tahoma"/>
            <family val="2"/>
          </rPr>
          <t>ECE_IT:</t>
        </r>
        <r>
          <rPr>
            <sz val="8"/>
            <color indexed="81"/>
            <rFont val="Tahoma"/>
            <family val="2"/>
          </rPr>
          <t xml:space="preserve">
This is something like C1, R2 , U1, etc. </t>
        </r>
      </text>
    </comment>
  </commentList>
</comments>
</file>

<file path=xl/sharedStrings.xml><?xml version="1.0" encoding="utf-8"?>
<sst xmlns="http://schemas.openxmlformats.org/spreadsheetml/2006/main" count="209" uniqueCount="127">
  <si>
    <t>Quantity</t>
  </si>
  <si>
    <t>Description</t>
  </si>
  <si>
    <t>Unit cost</t>
  </si>
  <si>
    <t>Cost</t>
  </si>
  <si>
    <t>Bill of Materials</t>
  </si>
  <si>
    <t>Distributor</t>
  </si>
  <si>
    <t>Mfg. P/N</t>
  </si>
  <si>
    <t>P/N</t>
  </si>
  <si>
    <t>LED</t>
  </si>
  <si>
    <t>Type</t>
  </si>
  <si>
    <t>"not free" means you have to buy it</t>
  </si>
  <si>
    <t>"free sample" means you have to order it</t>
  </si>
  <si>
    <t>REF DES</t>
  </si>
  <si>
    <t>REF DES Note</t>
  </si>
  <si>
    <t>Qty Note</t>
  </si>
  <si>
    <t>Where to get it?</t>
  </si>
  <si>
    <t>EE445L pays for the PCB</t>
  </si>
  <si>
    <t>"Cabinet means in one of the six black cabinets in professsor's office (bring a print out of your SCH")</t>
  </si>
  <si>
    <r>
      <t xml:space="preserve">"Professor" means ask your professor quantity and style will vary </t>
    </r>
    <r>
      <rPr>
        <b/>
        <sz val="12"/>
        <color indexed="10"/>
        <rFont val="Times New Roman"/>
        <family val="1"/>
      </rPr>
      <t>(bring a print out of your SCH circuit</t>
    </r>
    <r>
      <rPr>
        <b/>
        <sz val="12"/>
        <rFont val="Times New Roman"/>
        <family val="1"/>
      </rPr>
      <t>)</t>
    </r>
  </si>
  <si>
    <r>
      <t>"Box means in box in your professor's office (</t>
    </r>
    <r>
      <rPr>
        <b/>
        <sz val="12"/>
        <color indexed="10"/>
        <rFont val="Times New Roman"/>
        <family val="1"/>
      </rPr>
      <t>bring a print out of your SCH circuit</t>
    </r>
    <r>
      <rPr>
        <b/>
        <sz val="12"/>
        <rFont val="Times New Roman"/>
        <family val="1"/>
      </rPr>
      <t>)</t>
    </r>
  </si>
  <si>
    <t>ECE445L Spring 2025</t>
  </si>
  <si>
    <t>Magnets</t>
  </si>
  <si>
    <t>Hall Effect Sensors</t>
  </si>
  <si>
    <t>ADC0</t>
  </si>
  <si>
    <t>ADC1</t>
  </si>
  <si>
    <t>ADC2</t>
  </si>
  <si>
    <t>ADC3</t>
  </si>
  <si>
    <t>ADC4</t>
  </si>
  <si>
    <t>ADC Analog Mux</t>
  </si>
  <si>
    <t>1u C</t>
  </si>
  <si>
    <t>4u7 C</t>
  </si>
  <si>
    <t>LDO</t>
  </si>
  <si>
    <t>1k3 R</t>
  </si>
  <si>
    <t>1k5 R</t>
  </si>
  <si>
    <t>2k R</t>
  </si>
  <si>
    <t>3k R</t>
  </si>
  <si>
    <t>3k3 R</t>
  </si>
  <si>
    <t>7k5 R</t>
  </si>
  <si>
    <t>9k1 R</t>
  </si>
  <si>
    <t>470 R</t>
  </si>
  <si>
    <t>Rotary Encoder</t>
  </si>
  <si>
    <t>Stereo Headphone Jack</t>
  </si>
  <si>
    <t>LED String</t>
  </si>
  <si>
    <t>DC Barrel Jack</t>
  </si>
  <si>
    <t>MSPM0 Chip</t>
  </si>
  <si>
    <t>Speaker Amp</t>
  </si>
  <si>
    <t>Level Shift</t>
  </si>
  <si>
    <t>3.5 mm Audio Jack</t>
  </si>
  <si>
    <t>HIletgo LCD</t>
  </si>
  <si>
    <t>47k R</t>
  </si>
  <si>
    <t>10k R</t>
  </si>
  <si>
    <t>5k R</t>
  </si>
  <si>
    <t>20k R</t>
  </si>
  <si>
    <t>10n C</t>
  </si>
  <si>
    <t>10u C</t>
  </si>
  <si>
    <t>0u1 C</t>
  </si>
  <si>
    <t>0u47 C</t>
  </si>
  <si>
    <t>0u33 C</t>
  </si>
  <si>
    <t>Switch</t>
  </si>
  <si>
    <t>-</t>
  </si>
  <si>
    <t>AH49HNTR-G1</t>
  </si>
  <si>
    <t>MCP3221A0T-E/OT</t>
  </si>
  <si>
    <t>MCP3221A1T-E/OT</t>
  </si>
  <si>
    <t>MCP3221A2T-E/OT</t>
  </si>
  <si>
    <t>MCP3221A4T-E/OT</t>
  </si>
  <si>
    <t>MCP3221A5T-E/OT</t>
  </si>
  <si>
    <t>CD74HC4067SM96</t>
  </si>
  <si>
    <t>0805YC105KAT2A</t>
  </si>
  <si>
    <t>LM2937ET-3.3_NOPB</t>
  </si>
  <si>
    <t>RK73B1JTTDD132J</t>
  </si>
  <si>
    <t>ESR03EZPJ152</t>
  </si>
  <si>
    <t>ERJ-P06J202V</t>
  </si>
  <si>
    <t>CRCW08053K00FKTA</t>
  </si>
  <si>
    <t>CR0805-FX-3301ELF</t>
  </si>
  <si>
    <t>CR0805-FX-7501ELF</t>
  </si>
  <si>
    <t>ERJ-6ENF9101V</t>
  </si>
  <si>
    <t>LS R976-NR-1</t>
  </si>
  <si>
    <t>AF0805JR-07470RL</t>
  </si>
  <si>
    <t>KY-040</t>
  </si>
  <si>
    <t>M0G3507QDGS32RQ1</t>
  </si>
  <si>
    <t>LM4890M_NOPB</t>
  </si>
  <si>
    <t>SN74AHCT125DBR</t>
  </si>
  <si>
    <t>RC0805JR-7W47KL</t>
  </si>
  <si>
    <t>RV0805JR-0710KL</t>
  </si>
  <si>
    <t>CRCW08055K00JNTA</t>
  </si>
  <si>
    <t>C0805C103K1RAC7411</t>
  </si>
  <si>
    <t>CL21A106KPFNNNE</t>
  </si>
  <si>
    <t>MG21B104K500CT</t>
  </si>
  <si>
    <t>CL10B474KO8NFNC</t>
  </si>
  <si>
    <t>GRM033R60J334ME90D</t>
  </si>
  <si>
    <t>Mouser</t>
  </si>
  <si>
    <t>https://www.amazon.com/gp/product/B0CCXY6WBR/ref=ewc_pr_img_1?smid=AFDVT2Q21V43E&amp;th=1</t>
  </si>
  <si>
    <t>https://www.mouser.com/ProductDetail/Diodes-Incorporated/AH49HNTR-G1?qs=M%2FOdCRO8QQ2grA%252BZedkP6g%3D%3D&amp;srsltid=AfmBOoq0JHg7xezLVIZTimWM_NO0VPQoeuSycqINv8qv2d7cSGQVmwoM</t>
  </si>
  <si>
    <t>https://www.mouser.com/ProductDetail/Microchip-Technology/MCP3221A0T-E-OT?qs=uHi2%2FQoPa5CCFao9voYVSg%3D%3D</t>
  </si>
  <si>
    <t>https://www.mouser.com/ProductDetail/Microchip-Technology/MCP3221A1T-E-OT?qs=7SaOZgBIvytsewuKZ0dUjA%3D%3D</t>
  </si>
  <si>
    <t>https://www.mouser.com/ProductDetail/Microchip-Technology/MCP3221A2T-E-OT?qs=7SaOZgBIvyvHmCSoHmvp%2FA%3D%3D</t>
  </si>
  <si>
    <t>https://www.mouser.com/ProductDetail/Microchip-Technology/MCP3221A4T-E-OT?qs=uHi2%2FQoPa5A0hdg9CKvRxA%3D%3D</t>
  </si>
  <si>
    <t>https://www.mouser.com/ProductDetail/Microchip-Technology/MCP3221A5T-E-OT?qs=InakTnyiSK9lljladcdZHQ%3D%3D</t>
  </si>
  <si>
    <t>https://www.mouser.com/ProductDetail/Texas-Instruments/CD74HC4067SM96?qs=JHHQeKcAU3DyfvAOSRLjhQ%3D%3D</t>
  </si>
  <si>
    <t>https://www.mouser.com/ProductDetail/KYOCERA-AVX/0805YC105KAT2A?qs=Ppq%252BQS%252B9qgKbltvIecMi5g%3D%3D</t>
  </si>
  <si>
    <t>https://www.mouser.com/ProductDetail/KOA-Speer/RK73B1JTTDD132J?qs=eQc%252BYniTHCdkD2zz5oX%2F9A%3D%3D</t>
  </si>
  <si>
    <t>https://www.mouser.com/ProductDetail/ROHM-Semiconductor/ESR03EZPJ152?qs=DyUWGjl%252BcVvm2NOHIcQYzQ%3D%3D</t>
  </si>
  <si>
    <t>https://www.mouser.com/ProductDetail/Panasonic/ERJ-P06J202V?qs=Zyl8A9hlmJqAy%252BsXwxGx%252BA%3D%3D</t>
  </si>
  <si>
    <t>https://www.mouser.com/ProductDetail/Vishay/CRCW08053K00FKTA?qs=2kV0shNyW70dht2ijvgurw%3D%3D</t>
  </si>
  <si>
    <t>https://www.mouser.com/ProductDetail/Bourns/CR0805-FX-3301ELF?qs=4vGXhLEMbUy96oT8I4L5Pg%3D%3D</t>
  </si>
  <si>
    <t>https://www.mouser.com/ProductDetail/Bourns/CR0805-FX-7501ELF?qs=Ek4EPvi0xiD%252BUX1D91D2cA%3D%3D</t>
  </si>
  <si>
    <t>https://www.mouser.com/ProductDetail/Panasonic/ERJ-6ENF9101V?qs=8%252BG0TiN%2FgVqZTf2ghggS7Q%3D%3D</t>
  </si>
  <si>
    <t>https://www.mouser.co.uk/ProductDetail/ams-OSRAM/LS-R976-NR-1?qs=K5ta8V%252BWhtZhvCAe1sTZFg%3D%3D</t>
  </si>
  <si>
    <t>https://www.mouser.com/ProductDetail/YAGEO/AF0805JR-07470RL?qs=tggtontpCXOaQg0VhtuXeg%3D%3D</t>
  </si>
  <si>
    <t>https://www.amazon.com/gp/product/B088BPGMXB/ref=ox_sc_act_title_1?smid=A35UAT07QG3EC6&amp;th=1</t>
  </si>
  <si>
    <t>https://www.mouser.com/ProductDetail/Adafruit/373?qs=GURawfaeGuDDC%2FyE6Usrdw%3D%3D</t>
  </si>
  <si>
    <t>http://www.ti.com/general/docs/suppproductinfo.tsp?distId=10&amp;gotoUrl=http%3A%2F%2Fwww.ti.com%2Flit%2Fgpn%2Flm2937</t>
  </si>
  <si>
    <t>https://www.mouser.com/ProductDetail/Texas-Instruments/SN74AHCT125DBR?qs=b0gIXGU74fMvWnx5K%2FP5XQ%3D%3D&amp;srsltid=AfmBOorYX9KX6seF5WIb87sMB6H_qH8aJdYPXxcRhx2nhqj6lqVpj66G</t>
  </si>
  <si>
    <t>https://www.mouser.com/ProductDetail/YAGEO/RC0805JR-7W47KL?qs=tggtontpCXNoMeTIW8%252BKHA%3D%3D</t>
  </si>
  <si>
    <t>https://www.mouser.com/ProductDetail/YAGEO/RV0805JR-0710KL?qs=qpJ%252B%252B%252Bdg6p3bGiIDT3p%252B0w%3D%3D</t>
  </si>
  <si>
    <t>https://www.mouser.com/ProductDetail/Vishay/CRCW08055K00JNTA?qs=ypDtOmddc9yTg%252BhfBkNNHg%3D%3D</t>
  </si>
  <si>
    <t>https://www.mouser.com/ProductDetail/KEMET/C0805C103K1RAC7411?qs=jbRM9o5BbzN%252BKAvowF%2FE%2Fw%3D%3D</t>
  </si>
  <si>
    <t>https://www.mouser.com/ProductDetail/Samsung-Electro-Mechanics/CL21A106KPFNNNE?qs=sGAEpiMZZMt7gvpyg0xT8jBAVP%252BdkPhuUJvUBe19zr8%3D</t>
  </si>
  <si>
    <t>https://www.mouser.com/ProductDetail/Walsin/MG21B104K500CT?qs=sGAEpiMZZMt7gvpyg0xT8jBHDtGZvLzXjlSfFWC8Jgc2tQbZi0zprA%3D%3D</t>
  </si>
  <si>
    <t>https://www.mouser.com/ProductDetail/Samsung-Electro-Mechanics/CL10B474KO8NFNC?qs=sGAEpiMZZMt7gvpyg0xT8q%2F7CsY61%2FyFTHCmY5wjL0L9D1tlR%2FUXtQ%3D%3D</t>
  </si>
  <si>
    <t>https://www.mouser.com/ProductDetail/Murata-Electronics/GRM033R60J334ME90D?qs=sGAEpiMZZMt7gvpyg0xT8uCCXHbS75E5ohl%252B6aFMib58IUjO%2FZu9jw%3D%3D</t>
  </si>
  <si>
    <t>5 copies of ADC because different address requires different part lol</t>
  </si>
  <si>
    <t>ECE Checkout</t>
  </si>
  <si>
    <t>used for test, not final product</t>
  </si>
  <si>
    <t>Professor</t>
  </si>
  <si>
    <t>variant with addr=3 is not available</t>
  </si>
  <si>
    <t>unit cost was incorrect from some items - we should be under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</si>
</sst>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[$-409]mmmm\ d\,\ yyyy;@"/>
  </numFmts>
  <fonts count="14" x14ac:knownFonts="1">
    <font>
      <sz val="10"/>
      <name val="Arial"/>
    </font>
    <font>
      <sz val="12"/>
      <name val="Times New Roman"/>
      <family val="1"/>
    </font>
    <font>
      <sz val="8"/>
      <name val="Arial"/>
      <family val="2"/>
    </font>
    <font>
      <u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u/>
      <sz val="12"/>
      <color indexed="12"/>
      <name val="Times New Roman"/>
      <family val="1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sz val="11"/>
      <color rgb="FF006100"/>
      <name val="Calibri"/>
      <family val="2"/>
      <scheme val="minor"/>
    </font>
    <font>
      <b/>
      <sz val="12"/>
      <color rgb="FFFF6600"/>
      <name val="Times New Roman"/>
      <family val="1"/>
    </font>
    <font>
      <b/>
      <sz val="12"/>
      <color rgb="FF008000"/>
      <name val="Times New Roman"/>
      <family val="1"/>
    </font>
    <font>
      <b/>
      <sz val="14"/>
      <color rgb="FF006100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  <fill>
      <patternFill patternType="solid">
        <fgColor rgb="FFE0F7FA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9" fillId="2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0" fontId="6" fillId="0" borderId="0" xfId="2" applyFont="1" applyAlignment="1" applyProtection="1">
      <alignment horizontal="left"/>
    </xf>
    <xf numFmtId="0" fontId="3" fillId="0" borderId="0" xfId="2" applyAlignment="1" applyProtection="1"/>
    <xf numFmtId="0" fontId="7" fillId="0" borderId="0" xfId="0" applyFont="1" applyAlignment="1">
      <alignment horizontal="left"/>
    </xf>
    <xf numFmtId="165" fontId="7" fillId="0" borderId="0" xfId="0" applyNumberFormat="1" applyFont="1" applyAlignment="1">
      <alignment horizontal="left"/>
    </xf>
    <xf numFmtId="0" fontId="7" fillId="0" borderId="0" xfId="0" applyFo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2" borderId="0" xfId="1" applyFont="1" applyAlignment="1">
      <alignment horizontal="left"/>
    </xf>
    <xf numFmtId="0" fontId="1" fillId="0" borderId="0" xfId="0" applyFont="1" applyAlignment="1">
      <alignment wrapText="1"/>
    </xf>
    <xf numFmtId="0" fontId="13" fillId="3" borderId="1" xfId="0" applyFont="1" applyFill="1" applyBorder="1" applyAlignment="1">
      <alignment wrapText="1"/>
    </xf>
    <xf numFmtId="0" fontId="13" fillId="4" borderId="1" xfId="0" applyFont="1" applyFill="1" applyBorder="1" applyAlignment="1">
      <alignment wrapText="1"/>
    </xf>
    <xf numFmtId="0" fontId="13" fillId="3" borderId="1" xfId="0" applyFont="1" applyFill="1" applyBorder="1" applyAlignment="1">
      <alignment horizontal="right" wrapText="1"/>
    </xf>
    <xf numFmtId="0" fontId="13" fillId="4" borderId="1" xfId="0" applyFont="1" applyFill="1" applyBorder="1" applyAlignment="1">
      <alignment horizontal="right" wrapText="1"/>
    </xf>
    <xf numFmtId="0" fontId="13" fillId="3" borderId="1" xfId="0" applyFont="1" applyFill="1" applyBorder="1" applyAlignment="1">
      <alignment vertical="center"/>
    </xf>
    <xf numFmtId="0" fontId="13" fillId="4" borderId="1" xfId="0" applyFont="1" applyFill="1" applyBorder="1" applyAlignment="1">
      <alignment vertical="center"/>
    </xf>
    <xf numFmtId="164" fontId="1" fillId="0" borderId="0" xfId="0" applyNumberFormat="1" applyFont="1"/>
  </cellXfs>
  <cellStyles count="3">
    <cellStyle name="Good" xfId="1" builtinId="26"/>
    <cellStyle name="Hyperlink" xfId="2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0F7D9FE4-5BF2-4B49-BDEA-E64D83E62FE5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projects.ece.utexas.edu/valvano/wiki/doku.php?id=pcbartist:schema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64E12-2F57-4D15-BA8D-127B966BFCD4}">
  <dimension ref="A1:N157"/>
  <sheetViews>
    <sheetView tabSelected="1" topLeftCell="F1" zoomScale="107" zoomScaleNormal="130" workbookViewId="0">
      <selection activeCell="N12" sqref="N12"/>
    </sheetView>
  </sheetViews>
  <sheetFormatPr defaultColWidth="11.44140625" defaultRowHeight="15.6" x14ac:dyDescent="0.3"/>
  <cols>
    <col min="1" max="1" width="9.109375" style="3" customWidth="1"/>
    <col min="2" max="3" width="11.33203125" style="3" customWidth="1"/>
    <col min="4" max="4" width="46.6640625" style="3" bestFit="1" customWidth="1"/>
    <col min="5" max="5" width="25" style="3" customWidth="1"/>
    <col min="6" max="6" width="23.33203125" style="3" customWidth="1"/>
    <col min="7" max="7" width="18" style="3" bestFit="1" customWidth="1"/>
    <col min="8" max="8" width="24.6640625" style="3" customWidth="1"/>
    <col min="9" max="9" width="9.33203125" style="2" customWidth="1"/>
    <col min="10" max="10" width="9.109375" style="2" customWidth="1"/>
    <col min="11" max="16384" width="11.44140625" style="1"/>
  </cols>
  <sheetData>
    <row r="1" spans="1:14" x14ac:dyDescent="0.3">
      <c r="A1" s="6" t="s">
        <v>4</v>
      </c>
      <c r="B1" s="6"/>
      <c r="C1" s="6"/>
      <c r="D1" s="7">
        <v>45664</v>
      </c>
      <c r="E1" s="9" t="s">
        <v>10</v>
      </c>
      <c r="F1" s="6"/>
      <c r="G1" s="6" t="s">
        <v>11</v>
      </c>
      <c r="H1" s="6"/>
    </row>
    <row r="2" spans="1:14" ht="18" x14ac:dyDescent="0.35">
      <c r="A2" s="6" t="s">
        <v>20</v>
      </c>
      <c r="B2" s="6"/>
      <c r="C2" s="6"/>
      <c r="D2" s="11" t="s">
        <v>16</v>
      </c>
      <c r="E2" s="10" t="s">
        <v>17</v>
      </c>
      <c r="F2" s="6"/>
      <c r="G2" s="6"/>
      <c r="H2" s="6"/>
    </row>
    <row r="3" spans="1:14" x14ac:dyDescent="0.3">
      <c r="A3" s="6"/>
      <c r="B3" s="6"/>
      <c r="C3" s="6"/>
      <c r="D3" s="6"/>
      <c r="E3" s="6" t="s">
        <v>18</v>
      </c>
      <c r="F3" s="6"/>
      <c r="G3" s="6"/>
      <c r="H3" s="6"/>
    </row>
    <row r="4" spans="1:14" x14ac:dyDescent="0.3">
      <c r="A4" s="3" t="s">
        <v>14</v>
      </c>
      <c r="B4" s="4" t="s">
        <v>13</v>
      </c>
      <c r="E4" s="8" t="s">
        <v>19</v>
      </c>
    </row>
    <row r="5" spans="1:14" ht="16.2" thickBot="1" x14ac:dyDescent="0.35">
      <c r="A5" s="3" t="s">
        <v>0</v>
      </c>
      <c r="B5" s="3" t="s">
        <v>12</v>
      </c>
      <c r="C5" s="3" t="s">
        <v>9</v>
      </c>
      <c r="D5" s="3" t="s">
        <v>1</v>
      </c>
      <c r="E5" s="3" t="s">
        <v>6</v>
      </c>
      <c r="F5" s="3" t="s">
        <v>5</v>
      </c>
      <c r="G5" s="3" t="s">
        <v>7</v>
      </c>
      <c r="H5" s="2" t="s">
        <v>2</v>
      </c>
      <c r="I5" s="2" t="s">
        <v>3</v>
      </c>
      <c r="J5" s="1" t="s">
        <v>15</v>
      </c>
    </row>
    <row r="6" spans="1:14" ht="16.2" thickBot="1" x14ac:dyDescent="0.35">
      <c r="A6" s="15">
        <v>60</v>
      </c>
      <c r="D6" s="13" t="s">
        <v>21</v>
      </c>
      <c r="E6" s="13" t="s">
        <v>59</v>
      </c>
      <c r="F6" s="3" t="s">
        <v>90</v>
      </c>
      <c r="G6" s="3" t="s">
        <v>91</v>
      </c>
      <c r="H6" s="2">
        <v>0.19980000000000001</v>
      </c>
      <c r="I6" s="2">
        <f>H6*A6</f>
        <v>11.988</v>
      </c>
      <c r="J6" s="1"/>
      <c r="L6" s="5"/>
    </row>
    <row r="7" spans="1:14" ht="16.2" thickBot="1" x14ac:dyDescent="0.35">
      <c r="A7" s="16">
        <v>60</v>
      </c>
      <c r="D7" s="14" t="s">
        <v>22</v>
      </c>
      <c r="E7" s="14" t="s">
        <v>60</v>
      </c>
      <c r="F7" s="3" t="s">
        <v>90</v>
      </c>
      <c r="G7" s="3" t="s">
        <v>92</v>
      </c>
      <c r="H7" s="2">
        <v>0.29299999999999998</v>
      </c>
      <c r="I7" s="2">
        <f>H7*A7</f>
        <v>17.579999999999998</v>
      </c>
      <c r="J7" s="1"/>
    </row>
    <row r="8" spans="1:14" ht="16.2" thickBot="1" x14ac:dyDescent="0.35">
      <c r="A8" s="15">
        <v>1</v>
      </c>
      <c r="D8" s="13" t="s">
        <v>23</v>
      </c>
      <c r="E8" s="13" t="s">
        <v>61</v>
      </c>
      <c r="F8" s="3" t="s">
        <v>90</v>
      </c>
      <c r="G8" s="3" t="s">
        <v>93</v>
      </c>
      <c r="H8" s="2">
        <v>1.91</v>
      </c>
      <c r="I8" s="2">
        <f>H8*A8</f>
        <v>1.91</v>
      </c>
      <c r="J8" s="1" t="s">
        <v>121</v>
      </c>
      <c r="L8" s="5"/>
    </row>
    <row r="9" spans="1:14" ht="16.2" thickBot="1" x14ac:dyDescent="0.35">
      <c r="A9" s="16">
        <v>1</v>
      </c>
      <c r="D9" s="14" t="s">
        <v>24</v>
      </c>
      <c r="E9" s="14" t="s">
        <v>62</v>
      </c>
      <c r="F9" s="3" t="s">
        <v>90</v>
      </c>
      <c r="G9" s="3" t="s">
        <v>94</v>
      </c>
      <c r="H9" s="2">
        <v>1.91</v>
      </c>
      <c r="I9" s="2">
        <f>H9*A9</f>
        <v>1.91</v>
      </c>
      <c r="J9" s="1"/>
    </row>
    <row r="10" spans="1:14" ht="16.2" thickBot="1" x14ac:dyDescent="0.35">
      <c r="A10" s="15">
        <v>1</v>
      </c>
      <c r="D10" s="13" t="s">
        <v>25</v>
      </c>
      <c r="E10" s="13" t="s">
        <v>63</v>
      </c>
      <c r="F10" s="3" t="s">
        <v>90</v>
      </c>
      <c r="G10" s="3" t="s">
        <v>95</v>
      </c>
      <c r="H10" s="2">
        <v>1.91</v>
      </c>
      <c r="I10" s="2">
        <f>H10*A10</f>
        <v>1.91</v>
      </c>
      <c r="J10" s="1"/>
    </row>
    <row r="11" spans="1:14" ht="16.2" thickBot="1" x14ac:dyDescent="0.35">
      <c r="A11" s="16">
        <v>1</v>
      </c>
      <c r="D11" s="14" t="s">
        <v>26</v>
      </c>
      <c r="E11" s="14" t="s">
        <v>64</v>
      </c>
      <c r="F11" s="3" t="s">
        <v>90</v>
      </c>
      <c r="G11" s="3" t="s">
        <v>96</v>
      </c>
      <c r="H11" s="2">
        <v>1.91</v>
      </c>
      <c r="I11" s="2">
        <f>H11*A11</f>
        <v>1.91</v>
      </c>
      <c r="J11" s="1" t="s">
        <v>125</v>
      </c>
      <c r="N11" s="1" t="s">
        <v>126</v>
      </c>
    </row>
    <row r="12" spans="1:14" ht="16.2" thickBot="1" x14ac:dyDescent="0.35">
      <c r="A12" s="15">
        <v>1</v>
      </c>
      <c r="D12" s="13" t="s">
        <v>27</v>
      </c>
      <c r="E12" s="13" t="s">
        <v>65</v>
      </c>
      <c r="F12" s="3" t="s">
        <v>90</v>
      </c>
      <c r="G12" s="3" t="s">
        <v>97</v>
      </c>
      <c r="H12" s="2">
        <v>1.91</v>
      </c>
      <c r="I12" s="2">
        <f>H12*A12</f>
        <v>1.91</v>
      </c>
      <c r="J12" s="1"/>
      <c r="M12" s="19">
        <f>SUM(I:I)</f>
        <v>65.044999999999973</v>
      </c>
    </row>
    <row r="13" spans="1:14" ht="16.2" thickBot="1" x14ac:dyDescent="0.35">
      <c r="A13" s="16">
        <v>5</v>
      </c>
      <c r="D13" s="14" t="s">
        <v>28</v>
      </c>
      <c r="E13" s="14" t="s">
        <v>66</v>
      </c>
      <c r="F13" s="3" t="s">
        <v>90</v>
      </c>
      <c r="G13" s="3" t="s">
        <v>98</v>
      </c>
      <c r="H13" s="2">
        <v>0.44900000000000001</v>
      </c>
      <c r="I13" s="2">
        <f>H13*A13</f>
        <v>2.2450000000000001</v>
      </c>
      <c r="J13" s="1"/>
    </row>
    <row r="14" spans="1:14" ht="16.2" thickBot="1" x14ac:dyDescent="0.35">
      <c r="A14" s="15">
        <v>70</v>
      </c>
      <c r="D14" s="13" t="s">
        <v>29</v>
      </c>
      <c r="E14" s="13" t="s">
        <v>67</v>
      </c>
      <c r="F14" s="3" t="s">
        <v>90</v>
      </c>
      <c r="G14" s="3" t="s">
        <v>99</v>
      </c>
      <c r="H14" s="2">
        <v>4.2999999999999997E-2</v>
      </c>
      <c r="I14" s="2">
        <f>H14*A14</f>
        <v>3.01</v>
      </c>
      <c r="J14" s="1"/>
    </row>
    <row r="15" spans="1:14" ht="16.2" thickBot="1" x14ac:dyDescent="0.35">
      <c r="A15" s="16">
        <v>10</v>
      </c>
      <c r="D15" s="14" t="s">
        <v>30</v>
      </c>
      <c r="E15" s="14" t="s">
        <v>59</v>
      </c>
      <c r="F15" s="3" t="s">
        <v>90</v>
      </c>
      <c r="G15" s="3" t="s">
        <v>59</v>
      </c>
      <c r="H15" s="2">
        <v>0</v>
      </c>
      <c r="I15" s="2">
        <f>H15*A15</f>
        <v>0</v>
      </c>
      <c r="J15" s="1" t="s">
        <v>122</v>
      </c>
    </row>
    <row r="16" spans="1:14" ht="16.2" thickBot="1" x14ac:dyDescent="0.35">
      <c r="A16" s="15">
        <v>5</v>
      </c>
      <c r="D16" s="13" t="s">
        <v>31</v>
      </c>
      <c r="E16" s="17" t="s">
        <v>68</v>
      </c>
      <c r="F16" s="3" t="s">
        <v>90</v>
      </c>
      <c r="H16" s="2">
        <v>0</v>
      </c>
      <c r="I16" s="2">
        <f>H16*A16</f>
        <v>0</v>
      </c>
      <c r="J16" s="1" t="s">
        <v>122</v>
      </c>
    </row>
    <row r="17" spans="1:10" ht="16.2" thickBot="1" x14ac:dyDescent="0.35">
      <c r="A17" s="16">
        <v>0</v>
      </c>
      <c r="D17" s="14" t="s">
        <v>32</v>
      </c>
      <c r="E17" s="14" t="s">
        <v>69</v>
      </c>
      <c r="F17" s="3" t="s">
        <v>90</v>
      </c>
      <c r="G17" s="3" t="s">
        <v>100</v>
      </c>
      <c r="H17" s="2">
        <v>0.11</v>
      </c>
      <c r="I17" s="2">
        <f>H17*A17</f>
        <v>0</v>
      </c>
      <c r="J17" s="1" t="s">
        <v>123</v>
      </c>
    </row>
    <row r="18" spans="1:10" ht="16.2" thickBot="1" x14ac:dyDescent="0.35">
      <c r="A18" s="15">
        <v>0</v>
      </c>
      <c r="D18" s="13" t="s">
        <v>33</v>
      </c>
      <c r="E18" s="13" t="s">
        <v>70</v>
      </c>
      <c r="F18" s="3" t="s">
        <v>90</v>
      </c>
      <c r="G18" s="3" t="s">
        <v>101</v>
      </c>
      <c r="H18" s="2">
        <v>0.14000000000000001</v>
      </c>
      <c r="I18" s="2">
        <f>H18*A18</f>
        <v>0</v>
      </c>
      <c r="J18" s="1" t="s">
        <v>123</v>
      </c>
    </row>
    <row r="19" spans="1:10" ht="16.2" thickBot="1" x14ac:dyDescent="0.35">
      <c r="A19" s="16">
        <v>0</v>
      </c>
      <c r="D19" s="14" t="s">
        <v>34</v>
      </c>
      <c r="E19" s="14" t="s">
        <v>71</v>
      </c>
      <c r="F19" s="3" t="s">
        <v>90</v>
      </c>
      <c r="G19" s="3" t="s">
        <v>102</v>
      </c>
      <c r="H19" s="2">
        <v>0.12</v>
      </c>
      <c r="I19" s="2">
        <f>H19*A19</f>
        <v>0</v>
      </c>
      <c r="J19" s="1" t="s">
        <v>123</v>
      </c>
    </row>
    <row r="20" spans="1:10" ht="16.2" thickBot="1" x14ac:dyDescent="0.35">
      <c r="A20" s="15">
        <v>0</v>
      </c>
      <c r="D20" s="13" t="s">
        <v>35</v>
      </c>
      <c r="E20" s="13" t="s">
        <v>72</v>
      </c>
      <c r="F20" s="3" t="s">
        <v>90</v>
      </c>
      <c r="G20" s="3" t="s">
        <v>103</v>
      </c>
      <c r="H20" s="2">
        <v>0.18</v>
      </c>
      <c r="I20" s="2">
        <f>H20*A20</f>
        <v>0</v>
      </c>
      <c r="J20" s="1" t="s">
        <v>123</v>
      </c>
    </row>
    <row r="21" spans="1:10" ht="16.2" thickBot="1" x14ac:dyDescent="0.35">
      <c r="A21" s="16">
        <v>0</v>
      </c>
      <c r="D21" s="14" t="s">
        <v>36</v>
      </c>
      <c r="E21" s="14" t="s">
        <v>73</v>
      </c>
      <c r="F21" s="3" t="s">
        <v>90</v>
      </c>
      <c r="G21" s="3" t="s">
        <v>104</v>
      </c>
      <c r="H21" s="2">
        <v>0.1</v>
      </c>
      <c r="I21" s="2">
        <f>H21*A21</f>
        <v>0</v>
      </c>
      <c r="J21" s="1" t="s">
        <v>123</v>
      </c>
    </row>
    <row r="22" spans="1:10" ht="16.2" thickBot="1" x14ac:dyDescent="0.35">
      <c r="A22" s="15">
        <v>0</v>
      </c>
      <c r="D22" s="13" t="s">
        <v>37</v>
      </c>
      <c r="E22" s="13" t="s">
        <v>74</v>
      </c>
      <c r="F22" s="3" t="s">
        <v>90</v>
      </c>
      <c r="G22" s="3" t="s">
        <v>105</v>
      </c>
      <c r="H22" s="2">
        <v>0.1</v>
      </c>
      <c r="I22" s="2">
        <f>H22*A22</f>
        <v>0</v>
      </c>
      <c r="J22" s="1" t="s">
        <v>123</v>
      </c>
    </row>
    <row r="23" spans="1:10" ht="16.2" thickBot="1" x14ac:dyDescent="0.35">
      <c r="A23" s="16">
        <v>0</v>
      </c>
      <c r="D23" s="14" t="s">
        <v>38</v>
      </c>
      <c r="E23" s="14" t="s">
        <v>75</v>
      </c>
      <c r="F23" s="3" t="s">
        <v>90</v>
      </c>
      <c r="G23" s="3" t="s">
        <v>106</v>
      </c>
      <c r="H23" s="2">
        <v>0.11</v>
      </c>
      <c r="I23" s="2">
        <f>H23*A23</f>
        <v>0</v>
      </c>
      <c r="J23" s="1" t="s">
        <v>123</v>
      </c>
    </row>
    <row r="24" spans="1:10" ht="16.2" thickBot="1" x14ac:dyDescent="0.35">
      <c r="A24" s="15">
        <v>1</v>
      </c>
      <c r="D24" s="13" t="s">
        <v>8</v>
      </c>
      <c r="E24" s="13" t="s">
        <v>76</v>
      </c>
      <c r="F24" s="3" t="s">
        <v>90</v>
      </c>
      <c r="G24" s="3" t="s">
        <v>107</v>
      </c>
      <c r="H24" s="2">
        <v>0.15</v>
      </c>
      <c r="I24" s="2">
        <f>H24*A24</f>
        <v>0.15</v>
      </c>
      <c r="J24" s="1"/>
    </row>
    <row r="25" spans="1:10" ht="16.2" thickBot="1" x14ac:dyDescent="0.35">
      <c r="A25" s="16">
        <v>1</v>
      </c>
      <c r="D25" s="14" t="s">
        <v>39</v>
      </c>
      <c r="E25" s="14" t="s">
        <v>77</v>
      </c>
      <c r="F25" s="3" t="s">
        <v>90</v>
      </c>
      <c r="G25" s="3" t="s">
        <v>108</v>
      </c>
      <c r="H25" s="2">
        <v>0.1</v>
      </c>
      <c r="I25" s="2">
        <f>H25*A25</f>
        <v>0.1</v>
      </c>
      <c r="J25" s="1"/>
    </row>
    <row r="26" spans="1:10" ht="16.2" thickBot="1" x14ac:dyDescent="0.35">
      <c r="A26" s="13"/>
      <c r="D26" s="13"/>
      <c r="E26" s="13"/>
      <c r="F26" s="3" t="s">
        <v>90</v>
      </c>
      <c r="H26" s="2"/>
      <c r="I26" s="2">
        <f>H26*A26</f>
        <v>0</v>
      </c>
      <c r="J26" s="1"/>
    </row>
    <row r="27" spans="1:10" ht="16.2" thickBot="1" x14ac:dyDescent="0.35">
      <c r="A27" s="16">
        <v>2</v>
      </c>
      <c r="D27" s="14" t="s">
        <v>40</v>
      </c>
      <c r="E27" s="14" t="s">
        <v>78</v>
      </c>
      <c r="F27" s="3" t="s">
        <v>90</v>
      </c>
      <c r="G27" s="3" t="s">
        <v>59</v>
      </c>
      <c r="H27" s="2">
        <v>0</v>
      </c>
      <c r="I27" s="2">
        <f>H27*A27</f>
        <v>0</v>
      </c>
      <c r="J27" s="1" t="s">
        <v>124</v>
      </c>
    </row>
    <row r="28" spans="1:10" ht="16.2" thickBot="1" x14ac:dyDescent="0.35">
      <c r="A28" s="15">
        <v>1</v>
      </c>
      <c r="D28" s="13" t="s">
        <v>41</v>
      </c>
      <c r="E28" s="13" t="s">
        <v>59</v>
      </c>
      <c r="F28" s="3" t="s">
        <v>90</v>
      </c>
      <c r="G28" s="3" t="s">
        <v>59</v>
      </c>
      <c r="H28" s="2">
        <v>0</v>
      </c>
      <c r="I28" s="2">
        <f>H28*A28</f>
        <v>0</v>
      </c>
      <c r="J28" s="1" t="s">
        <v>122</v>
      </c>
    </row>
    <row r="29" spans="1:10" ht="16.2" thickBot="1" x14ac:dyDescent="0.35">
      <c r="A29" s="16">
        <v>1</v>
      </c>
      <c r="D29" s="14" t="s">
        <v>42</v>
      </c>
      <c r="E29" s="14" t="s">
        <v>59</v>
      </c>
      <c r="F29" s="3" t="s">
        <v>90</v>
      </c>
      <c r="G29" s="3" t="s">
        <v>109</v>
      </c>
      <c r="H29" s="2">
        <v>14.95</v>
      </c>
      <c r="I29" s="2">
        <f>H29*A29</f>
        <v>14.95</v>
      </c>
      <c r="J29" s="1"/>
    </row>
    <row r="30" spans="1:10" ht="16.2" thickBot="1" x14ac:dyDescent="0.35">
      <c r="A30" s="15">
        <v>1</v>
      </c>
      <c r="D30" s="13" t="s">
        <v>43</v>
      </c>
      <c r="E30" s="15">
        <v>375</v>
      </c>
      <c r="F30" s="3" t="s">
        <v>90</v>
      </c>
      <c r="G30" s="3" t="s">
        <v>110</v>
      </c>
      <c r="H30" s="2">
        <v>0.95</v>
      </c>
      <c r="I30" s="2">
        <f>H30*A30</f>
        <v>0.95</v>
      </c>
      <c r="J30" s="1"/>
    </row>
    <row r="31" spans="1:10" ht="16.2" thickBot="1" x14ac:dyDescent="0.35">
      <c r="A31" s="16">
        <v>1</v>
      </c>
      <c r="D31" s="14" t="s">
        <v>31</v>
      </c>
      <c r="E31" s="14" t="s">
        <v>59</v>
      </c>
      <c r="F31" s="3" t="s">
        <v>90</v>
      </c>
      <c r="G31" s="3" t="s">
        <v>111</v>
      </c>
      <c r="H31" s="2">
        <v>0</v>
      </c>
      <c r="I31" s="2">
        <f>H31*A31</f>
        <v>0</v>
      </c>
      <c r="J31" s="1" t="s">
        <v>122</v>
      </c>
    </row>
    <row r="32" spans="1:10" ht="16.2" thickBot="1" x14ac:dyDescent="0.35">
      <c r="A32" s="15">
        <v>2</v>
      </c>
      <c r="D32" s="13" t="s">
        <v>30</v>
      </c>
      <c r="E32" s="13" t="s">
        <v>59</v>
      </c>
      <c r="F32" s="3" t="s">
        <v>90</v>
      </c>
      <c r="G32" s="3" t="s">
        <v>59</v>
      </c>
      <c r="H32" s="2">
        <v>0</v>
      </c>
      <c r="I32" s="2">
        <f>H32*A32</f>
        <v>0</v>
      </c>
      <c r="J32" s="1" t="s">
        <v>122</v>
      </c>
    </row>
    <row r="33" spans="1:10" ht="16.2" thickBot="1" x14ac:dyDescent="0.35">
      <c r="A33" s="16">
        <v>1</v>
      </c>
      <c r="D33" s="14" t="s">
        <v>44</v>
      </c>
      <c r="E33" s="18" t="s">
        <v>79</v>
      </c>
      <c r="F33" s="3" t="s">
        <v>90</v>
      </c>
      <c r="H33" s="2"/>
      <c r="I33" s="2">
        <f>H33*A33</f>
        <v>0</v>
      </c>
      <c r="J33" s="1"/>
    </row>
    <row r="34" spans="1:10" ht="16.2" thickBot="1" x14ac:dyDescent="0.35">
      <c r="A34" s="15">
        <v>1</v>
      </c>
      <c r="D34" s="13" t="s">
        <v>45</v>
      </c>
      <c r="E34" s="17" t="s">
        <v>80</v>
      </c>
      <c r="F34" s="3" t="s">
        <v>90</v>
      </c>
      <c r="H34" s="2"/>
      <c r="I34" s="2">
        <f>H34*A34</f>
        <v>0</v>
      </c>
      <c r="J34" s="1"/>
    </row>
    <row r="35" spans="1:10" ht="16.2" thickBot="1" x14ac:dyDescent="0.35">
      <c r="A35" s="16">
        <v>1</v>
      </c>
      <c r="D35" s="14" t="s">
        <v>46</v>
      </c>
      <c r="E35" s="18" t="s">
        <v>81</v>
      </c>
      <c r="F35" s="3" t="s">
        <v>90</v>
      </c>
      <c r="G35" s="3" t="s">
        <v>112</v>
      </c>
      <c r="H35" s="2">
        <v>0.42</v>
      </c>
      <c r="I35" s="2">
        <f>H35*A35</f>
        <v>0.42</v>
      </c>
      <c r="J35" s="1"/>
    </row>
    <row r="36" spans="1:10" ht="16.2" thickBot="1" x14ac:dyDescent="0.35">
      <c r="A36" s="15">
        <v>1</v>
      </c>
      <c r="D36" s="13" t="s">
        <v>43</v>
      </c>
      <c r="E36" s="15">
        <v>373</v>
      </c>
      <c r="F36" s="3" t="s">
        <v>90</v>
      </c>
      <c r="G36" s="3" t="s">
        <v>110</v>
      </c>
      <c r="H36" s="2">
        <v>0.95</v>
      </c>
      <c r="I36" s="2">
        <f>H36*A36</f>
        <v>0.95</v>
      </c>
      <c r="J36" s="1"/>
    </row>
    <row r="37" spans="1:10" ht="16.2" thickBot="1" x14ac:dyDescent="0.35">
      <c r="A37" s="16">
        <v>1</v>
      </c>
      <c r="D37" s="14" t="s">
        <v>47</v>
      </c>
      <c r="E37" s="14" t="s">
        <v>59</v>
      </c>
      <c r="F37" s="3" t="s">
        <v>90</v>
      </c>
      <c r="H37" s="2">
        <v>0</v>
      </c>
      <c r="I37" s="2">
        <f>H37*A37</f>
        <v>0</v>
      </c>
      <c r="J37" s="1"/>
    </row>
    <row r="38" spans="1:10" ht="16.2" thickBot="1" x14ac:dyDescent="0.35">
      <c r="A38" s="15">
        <v>1</v>
      </c>
      <c r="D38" s="13" t="s">
        <v>48</v>
      </c>
      <c r="E38" s="13" t="s">
        <v>59</v>
      </c>
      <c r="F38" s="3" t="s">
        <v>90</v>
      </c>
      <c r="H38" s="2">
        <v>0</v>
      </c>
      <c r="I38" s="2">
        <f>H38*A38</f>
        <v>0</v>
      </c>
      <c r="J38" s="1"/>
    </row>
    <row r="39" spans="1:10" ht="16.2" thickBot="1" x14ac:dyDescent="0.35">
      <c r="A39" s="16">
        <v>6</v>
      </c>
      <c r="D39" s="14" t="s">
        <v>8</v>
      </c>
      <c r="E39" s="14" t="s">
        <v>76</v>
      </c>
      <c r="F39" s="3" t="s">
        <v>90</v>
      </c>
      <c r="G39" s="3" t="s">
        <v>107</v>
      </c>
      <c r="H39" s="2">
        <v>0.15</v>
      </c>
      <c r="I39" s="2">
        <f>H39*A39</f>
        <v>0.89999999999999991</v>
      </c>
      <c r="J39" s="1"/>
    </row>
    <row r="40" spans="1:10" ht="16.2" thickBot="1" x14ac:dyDescent="0.35">
      <c r="A40" s="15">
        <v>2</v>
      </c>
      <c r="D40" s="13" t="s">
        <v>39</v>
      </c>
      <c r="E40" s="13" t="s">
        <v>77</v>
      </c>
      <c r="F40" s="3" t="s">
        <v>90</v>
      </c>
      <c r="G40" s="3" t="s">
        <v>108</v>
      </c>
      <c r="H40" s="2">
        <v>0.1</v>
      </c>
      <c r="I40" s="2">
        <f>H40*A40</f>
        <v>0.2</v>
      </c>
      <c r="J40" s="1"/>
    </row>
    <row r="41" spans="1:10" ht="16.2" thickBot="1" x14ac:dyDescent="0.35">
      <c r="A41" s="16">
        <v>1</v>
      </c>
      <c r="D41" s="14" t="s">
        <v>49</v>
      </c>
      <c r="E41" s="14" t="s">
        <v>82</v>
      </c>
      <c r="F41" s="3" t="s">
        <v>90</v>
      </c>
      <c r="G41" s="3" t="s">
        <v>113</v>
      </c>
      <c r="H41" s="2">
        <v>0.1</v>
      </c>
      <c r="I41" s="2">
        <f>H41*A41</f>
        <v>0.1</v>
      </c>
      <c r="J41" s="1"/>
    </row>
    <row r="42" spans="1:10" ht="16.2" thickBot="1" x14ac:dyDescent="0.35">
      <c r="A42" s="15">
        <v>4</v>
      </c>
      <c r="D42" s="13" t="s">
        <v>50</v>
      </c>
      <c r="E42" s="13" t="s">
        <v>83</v>
      </c>
      <c r="F42" s="3" t="s">
        <v>90</v>
      </c>
      <c r="G42" s="3" t="s">
        <v>114</v>
      </c>
      <c r="H42" s="2">
        <v>0.1</v>
      </c>
      <c r="I42" s="2">
        <f>H42*A42</f>
        <v>0.4</v>
      </c>
      <c r="J42" s="1"/>
    </row>
    <row r="43" spans="1:10" ht="16.2" thickBot="1" x14ac:dyDescent="0.35">
      <c r="A43" s="16">
        <v>4</v>
      </c>
      <c r="D43" s="14" t="s">
        <v>51</v>
      </c>
      <c r="E43" s="14" t="s">
        <v>84</v>
      </c>
      <c r="F43" s="3" t="s">
        <v>90</v>
      </c>
      <c r="G43" s="3" t="s">
        <v>115</v>
      </c>
      <c r="H43" s="2">
        <v>0.14000000000000001</v>
      </c>
      <c r="I43" s="2">
        <f>H43*A43</f>
        <v>0.56000000000000005</v>
      </c>
      <c r="J43" s="1"/>
    </row>
    <row r="44" spans="1:10" ht="16.2" thickBot="1" x14ac:dyDescent="0.35">
      <c r="A44" s="15">
        <v>2</v>
      </c>
      <c r="D44" s="13" t="s">
        <v>52</v>
      </c>
      <c r="E44" s="13" t="s">
        <v>84</v>
      </c>
      <c r="F44" s="3" t="s">
        <v>90</v>
      </c>
      <c r="G44" s="3" t="s">
        <v>115</v>
      </c>
      <c r="H44" s="2">
        <v>0.1</v>
      </c>
      <c r="I44" s="2">
        <f>H44*A44</f>
        <v>0.2</v>
      </c>
      <c r="J44" s="1"/>
    </row>
    <row r="45" spans="1:10" ht="16.2" thickBot="1" x14ac:dyDescent="0.35">
      <c r="A45" s="16">
        <v>1</v>
      </c>
      <c r="D45" s="14" t="s">
        <v>53</v>
      </c>
      <c r="E45" s="14" t="s">
        <v>85</v>
      </c>
      <c r="F45" s="3" t="s">
        <v>90</v>
      </c>
      <c r="G45" s="3" t="s">
        <v>116</v>
      </c>
      <c r="H45" s="2">
        <v>0.1</v>
      </c>
      <c r="I45" s="2">
        <f>H45*A45</f>
        <v>0.1</v>
      </c>
      <c r="J45" s="1"/>
    </row>
    <row r="46" spans="1:10" ht="16.2" thickBot="1" x14ac:dyDescent="0.35">
      <c r="A46" s="15">
        <v>2</v>
      </c>
      <c r="D46" s="13" t="s">
        <v>54</v>
      </c>
      <c r="E46" s="13" t="s">
        <v>86</v>
      </c>
      <c r="F46" s="3" t="s">
        <v>90</v>
      </c>
      <c r="G46" s="1" t="s">
        <v>117</v>
      </c>
      <c r="H46" s="2">
        <v>0.1</v>
      </c>
      <c r="I46" s="2">
        <f>H46*A46</f>
        <v>0.2</v>
      </c>
      <c r="J46" s="1"/>
    </row>
    <row r="47" spans="1:10" ht="16.2" thickBot="1" x14ac:dyDescent="0.35">
      <c r="A47" s="16">
        <v>1</v>
      </c>
      <c r="D47" s="14" t="s">
        <v>55</v>
      </c>
      <c r="E47" s="14" t="s">
        <v>87</v>
      </c>
      <c r="F47" s="3" t="s">
        <v>90</v>
      </c>
      <c r="G47" s="3" t="s">
        <v>118</v>
      </c>
      <c r="H47" s="2">
        <v>0.1</v>
      </c>
      <c r="I47" s="2">
        <f>H47*A47</f>
        <v>0.1</v>
      </c>
      <c r="J47" s="1"/>
    </row>
    <row r="48" spans="1:10" ht="16.2" thickBot="1" x14ac:dyDescent="0.35">
      <c r="A48" s="15">
        <v>1</v>
      </c>
      <c r="D48" s="13" t="s">
        <v>56</v>
      </c>
      <c r="E48" s="13" t="s">
        <v>88</v>
      </c>
      <c r="F48" s="3" t="s">
        <v>90</v>
      </c>
      <c r="G48" s="3" t="s">
        <v>119</v>
      </c>
      <c r="H48" s="2">
        <v>0.12</v>
      </c>
      <c r="I48" s="2">
        <f>H48*A48</f>
        <v>0.12</v>
      </c>
      <c r="J48" s="1"/>
    </row>
    <row r="49" spans="1:10" ht="16.2" thickBot="1" x14ac:dyDescent="0.35">
      <c r="A49" s="16">
        <v>4</v>
      </c>
      <c r="D49" s="14" t="s">
        <v>29</v>
      </c>
      <c r="E49" s="14" t="s">
        <v>67</v>
      </c>
      <c r="F49" s="3" t="s">
        <v>90</v>
      </c>
      <c r="G49" s="3" t="s">
        <v>99</v>
      </c>
      <c r="H49" s="2">
        <v>4.2999999999999997E-2</v>
      </c>
      <c r="I49" s="2">
        <f>H49*A49</f>
        <v>0.17199999999999999</v>
      </c>
      <c r="J49" s="1"/>
    </row>
    <row r="50" spans="1:10" ht="16.2" thickBot="1" x14ac:dyDescent="0.35">
      <c r="A50" s="15">
        <v>1</v>
      </c>
      <c r="D50" s="13" t="s">
        <v>57</v>
      </c>
      <c r="E50" s="13" t="s">
        <v>89</v>
      </c>
      <c r="F50" s="3" t="s">
        <v>90</v>
      </c>
      <c r="G50" s="3" t="s">
        <v>120</v>
      </c>
      <c r="H50" s="2">
        <v>0.1</v>
      </c>
      <c r="I50" s="2">
        <f>H50*A50</f>
        <v>0.1</v>
      </c>
      <c r="J50" s="1"/>
    </row>
    <row r="51" spans="1:10" ht="16.2" thickBot="1" x14ac:dyDescent="0.35">
      <c r="A51" s="16">
        <v>1</v>
      </c>
      <c r="D51" s="14" t="s">
        <v>58</v>
      </c>
      <c r="E51" s="3" t="s">
        <v>59</v>
      </c>
      <c r="F51" s="3" t="s">
        <v>90</v>
      </c>
      <c r="H51" s="2">
        <v>0</v>
      </c>
      <c r="I51" s="2">
        <f>H51*A51</f>
        <v>0</v>
      </c>
      <c r="J51" s="1"/>
    </row>
    <row r="52" spans="1:10" x14ac:dyDescent="0.3">
      <c r="A52" s="3">
        <v>0</v>
      </c>
    </row>
    <row r="53" spans="1:10" x14ac:dyDescent="0.3">
      <c r="A53" s="3">
        <v>0</v>
      </c>
    </row>
    <row r="54" spans="1:10" x14ac:dyDescent="0.3">
      <c r="A54" s="3">
        <v>0</v>
      </c>
    </row>
    <row r="55" spans="1:10" x14ac:dyDescent="0.3">
      <c r="A55" s="3">
        <v>0</v>
      </c>
    </row>
    <row r="56" spans="1:10" x14ac:dyDescent="0.3">
      <c r="A56" s="3">
        <v>0</v>
      </c>
    </row>
    <row r="57" spans="1:10" x14ac:dyDescent="0.3">
      <c r="A57" s="3">
        <v>0</v>
      </c>
      <c r="D57" s="1"/>
    </row>
    <row r="58" spans="1:10" x14ac:dyDescent="0.3">
      <c r="A58" s="3">
        <v>0</v>
      </c>
    </row>
    <row r="59" spans="1:10" x14ac:dyDescent="0.3">
      <c r="A59" s="3">
        <v>0</v>
      </c>
    </row>
    <row r="60" spans="1:10" x14ac:dyDescent="0.3">
      <c r="A60" s="3">
        <v>0</v>
      </c>
    </row>
    <row r="61" spans="1:10" x14ac:dyDescent="0.3">
      <c r="A61" s="3">
        <v>0</v>
      </c>
    </row>
    <row r="62" spans="1:10" x14ac:dyDescent="0.3">
      <c r="A62" s="3">
        <v>0</v>
      </c>
    </row>
    <row r="63" spans="1:10" x14ac:dyDescent="0.3">
      <c r="A63" s="3">
        <v>0</v>
      </c>
    </row>
    <row r="64" spans="1:10" x14ac:dyDescent="0.3">
      <c r="A64" s="3">
        <v>0</v>
      </c>
    </row>
    <row r="65" spans="1:8" x14ac:dyDescent="0.3">
      <c r="A65" s="3">
        <v>0</v>
      </c>
      <c r="H65" s="1"/>
    </row>
    <row r="66" spans="1:8" x14ac:dyDescent="0.3">
      <c r="A66" s="3">
        <v>0</v>
      </c>
    </row>
    <row r="67" spans="1:8" x14ac:dyDescent="0.3">
      <c r="A67" s="3">
        <v>0</v>
      </c>
    </row>
    <row r="68" spans="1:8" x14ac:dyDescent="0.3">
      <c r="A68" s="3">
        <v>0</v>
      </c>
    </row>
    <row r="69" spans="1:8" x14ac:dyDescent="0.3">
      <c r="A69" s="3">
        <v>0</v>
      </c>
    </row>
    <row r="70" spans="1:8" x14ac:dyDescent="0.3">
      <c r="A70" s="3">
        <v>0</v>
      </c>
    </row>
    <row r="71" spans="1:8" x14ac:dyDescent="0.3">
      <c r="A71" s="3">
        <v>0</v>
      </c>
    </row>
    <row r="72" spans="1:8" x14ac:dyDescent="0.3">
      <c r="A72" s="3">
        <v>0</v>
      </c>
    </row>
    <row r="73" spans="1:8" x14ac:dyDescent="0.3">
      <c r="A73" s="3">
        <v>0</v>
      </c>
    </row>
    <row r="74" spans="1:8" x14ac:dyDescent="0.3">
      <c r="A74" s="3">
        <v>0</v>
      </c>
    </row>
    <row r="75" spans="1:8" x14ac:dyDescent="0.3">
      <c r="A75" s="3">
        <v>0</v>
      </c>
    </row>
    <row r="76" spans="1:8" x14ac:dyDescent="0.3">
      <c r="A76" s="3">
        <v>0</v>
      </c>
    </row>
    <row r="77" spans="1:8" x14ac:dyDescent="0.3">
      <c r="A77" s="3">
        <v>0</v>
      </c>
    </row>
    <row r="78" spans="1:8" x14ac:dyDescent="0.3">
      <c r="A78" s="3">
        <v>0</v>
      </c>
    </row>
    <row r="79" spans="1:8" x14ac:dyDescent="0.3">
      <c r="A79" s="3">
        <v>0</v>
      </c>
    </row>
    <row r="80" spans="1:8" x14ac:dyDescent="0.3">
      <c r="A80" s="3">
        <v>0</v>
      </c>
    </row>
    <row r="81" spans="1:8" x14ac:dyDescent="0.3">
      <c r="A81" s="3">
        <v>0</v>
      </c>
    </row>
    <row r="82" spans="1:8" x14ac:dyDescent="0.3">
      <c r="A82" s="3">
        <v>0</v>
      </c>
    </row>
    <row r="85" spans="1:8" x14ac:dyDescent="0.3">
      <c r="A85" s="3">
        <v>0</v>
      </c>
    </row>
    <row r="86" spans="1:8" x14ac:dyDescent="0.3">
      <c r="A86" s="3">
        <v>0</v>
      </c>
    </row>
    <row r="87" spans="1:8" x14ac:dyDescent="0.3">
      <c r="A87" s="3">
        <v>0</v>
      </c>
    </row>
    <row r="88" spans="1:8" x14ac:dyDescent="0.3">
      <c r="A88" s="3">
        <v>0</v>
      </c>
    </row>
    <row r="89" spans="1:8" x14ac:dyDescent="0.3">
      <c r="A89" s="3">
        <v>0</v>
      </c>
    </row>
    <row r="90" spans="1:8" x14ac:dyDescent="0.3">
      <c r="A90" s="3">
        <v>0</v>
      </c>
    </row>
    <row r="91" spans="1:8" x14ac:dyDescent="0.3">
      <c r="A91" s="3">
        <v>0</v>
      </c>
    </row>
    <row r="92" spans="1:8" x14ac:dyDescent="0.3">
      <c r="A92" s="3">
        <v>0</v>
      </c>
    </row>
    <row r="93" spans="1:8" x14ac:dyDescent="0.3">
      <c r="A93" s="3">
        <v>0</v>
      </c>
    </row>
    <row r="94" spans="1:8" x14ac:dyDescent="0.3">
      <c r="A94" s="3">
        <v>0</v>
      </c>
      <c r="E94" s="1"/>
      <c r="F94" s="1"/>
      <c r="H94" s="1"/>
    </row>
    <row r="95" spans="1:8" x14ac:dyDescent="0.3">
      <c r="A95" s="3">
        <v>0</v>
      </c>
      <c r="E95" s="1"/>
      <c r="F95" s="1"/>
      <c r="H95" s="1"/>
    </row>
    <row r="96" spans="1:8" x14ac:dyDescent="0.3">
      <c r="A96" s="3">
        <v>0</v>
      </c>
      <c r="E96" s="1"/>
      <c r="F96" s="1"/>
      <c r="H96" s="1"/>
    </row>
    <row r="97" spans="1:8" x14ac:dyDescent="0.3">
      <c r="A97" s="3">
        <v>0</v>
      </c>
      <c r="E97" s="1"/>
      <c r="F97" s="1"/>
      <c r="H97" s="1"/>
    </row>
    <row r="98" spans="1:8" x14ac:dyDescent="0.3">
      <c r="A98" s="3">
        <v>0</v>
      </c>
      <c r="E98" s="1"/>
      <c r="F98" s="1"/>
      <c r="H98" s="1"/>
    </row>
    <row r="99" spans="1:8" x14ac:dyDescent="0.3">
      <c r="A99" s="3">
        <v>0</v>
      </c>
      <c r="E99" s="1"/>
      <c r="F99" s="1"/>
      <c r="H99" s="1"/>
    </row>
    <row r="100" spans="1:8" x14ac:dyDescent="0.3">
      <c r="A100" s="3">
        <v>0</v>
      </c>
      <c r="E100" s="1"/>
      <c r="F100" s="1"/>
      <c r="H100" s="1"/>
    </row>
    <row r="101" spans="1:8" x14ac:dyDescent="0.3">
      <c r="A101" s="3">
        <v>0</v>
      </c>
      <c r="E101" s="1"/>
      <c r="F101" s="1"/>
      <c r="H101" s="1"/>
    </row>
    <row r="102" spans="1:8" x14ac:dyDescent="0.3">
      <c r="A102" s="3">
        <v>0</v>
      </c>
      <c r="E102" s="1"/>
      <c r="F102" s="1"/>
      <c r="H102" s="1"/>
    </row>
    <row r="103" spans="1:8" x14ac:dyDescent="0.3">
      <c r="A103" s="3">
        <v>0</v>
      </c>
      <c r="E103" s="1"/>
      <c r="F103" s="1"/>
      <c r="H103" s="1"/>
    </row>
    <row r="104" spans="1:8" x14ac:dyDescent="0.3">
      <c r="A104" s="3">
        <v>0</v>
      </c>
      <c r="E104" s="1"/>
      <c r="F104" s="1"/>
      <c r="H104" s="1"/>
    </row>
    <row r="105" spans="1:8" x14ac:dyDescent="0.3">
      <c r="A105" s="3">
        <v>0</v>
      </c>
      <c r="E105" s="1"/>
      <c r="F105" s="1"/>
      <c r="H105" s="1"/>
    </row>
    <row r="106" spans="1:8" x14ac:dyDescent="0.3">
      <c r="A106" s="3">
        <v>0</v>
      </c>
      <c r="E106" s="1"/>
      <c r="F106" s="1"/>
      <c r="H106" s="1"/>
    </row>
    <row r="107" spans="1:8" x14ac:dyDescent="0.3">
      <c r="A107" s="3">
        <v>0</v>
      </c>
      <c r="E107" s="1"/>
      <c r="F107" s="1"/>
      <c r="H107" s="1"/>
    </row>
    <row r="108" spans="1:8" x14ac:dyDescent="0.3">
      <c r="A108" s="3">
        <v>0</v>
      </c>
      <c r="E108" s="1"/>
      <c r="F108" s="1"/>
      <c r="H108" s="1"/>
    </row>
    <row r="109" spans="1:8" x14ac:dyDescent="0.3">
      <c r="A109" s="3">
        <v>0</v>
      </c>
      <c r="E109" s="1"/>
      <c r="F109" s="1"/>
      <c r="H109" s="1"/>
    </row>
    <row r="110" spans="1:8" x14ac:dyDescent="0.3">
      <c r="A110" s="3">
        <v>0</v>
      </c>
      <c r="E110" s="1"/>
      <c r="F110" s="1"/>
      <c r="H110" s="1"/>
    </row>
    <row r="111" spans="1:8" x14ac:dyDescent="0.3">
      <c r="A111" s="3">
        <v>0</v>
      </c>
      <c r="E111" s="1"/>
      <c r="F111" s="1"/>
      <c r="H111" s="1"/>
    </row>
    <row r="112" spans="1:8" x14ac:dyDescent="0.3">
      <c r="A112" s="3">
        <v>0</v>
      </c>
      <c r="E112" s="1"/>
      <c r="F112" s="1"/>
      <c r="H112" s="1"/>
    </row>
    <row r="113" spans="1:8" x14ac:dyDescent="0.3">
      <c r="A113" s="3">
        <v>0</v>
      </c>
      <c r="E113" s="1"/>
      <c r="F113" s="1"/>
      <c r="H113" s="1"/>
    </row>
    <row r="114" spans="1:8" x14ac:dyDescent="0.3">
      <c r="A114" s="3">
        <v>0</v>
      </c>
      <c r="E114" s="1"/>
      <c r="F114" s="1"/>
      <c r="H114" s="1"/>
    </row>
    <row r="115" spans="1:8" x14ac:dyDescent="0.3">
      <c r="A115" s="3">
        <v>0</v>
      </c>
      <c r="E115" s="1"/>
      <c r="F115" s="1"/>
      <c r="H115" s="1"/>
    </row>
    <row r="116" spans="1:8" x14ac:dyDescent="0.3">
      <c r="A116" s="3">
        <v>0</v>
      </c>
      <c r="E116" s="1"/>
      <c r="F116" s="1"/>
      <c r="H116" s="1"/>
    </row>
    <row r="117" spans="1:8" x14ac:dyDescent="0.3">
      <c r="A117" s="3">
        <v>0</v>
      </c>
      <c r="E117" s="1"/>
      <c r="F117" s="1"/>
      <c r="H117" s="1"/>
    </row>
    <row r="118" spans="1:8" x14ac:dyDescent="0.3">
      <c r="A118" s="3">
        <v>0</v>
      </c>
      <c r="E118" s="1"/>
      <c r="F118" s="1"/>
      <c r="H118" s="1"/>
    </row>
    <row r="119" spans="1:8" x14ac:dyDescent="0.3">
      <c r="A119" s="3">
        <v>0</v>
      </c>
      <c r="E119" s="1"/>
      <c r="F119" s="1"/>
      <c r="H119" s="1"/>
    </row>
    <row r="120" spans="1:8" x14ac:dyDescent="0.3">
      <c r="A120" s="3">
        <v>0</v>
      </c>
      <c r="E120" s="1"/>
      <c r="F120" s="1"/>
      <c r="H120" s="1"/>
    </row>
    <row r="121" spans="1:8" x14ac:dyDescent="0.3">
      <c r="A121" s="3">
        <v>0</v>
      </c>
      <c r="E121" s="1"/>
      <c r="F121" s="1"/>
      <c r="H121" s="1"/>
    </row>
    <row r="122" spans="1:8" x14ac:dyDescent="0.3">
      <c r="A122" s="3">
        <v>0</v>
      </c>
      <c r="E122" s="1"/>
      <c r="F122" s="1"/>
      <c r="H122" s="1"/>
    </row>
    <row r="123" spans="1:8" x14ac:dyDescent="0.3">
      <c r="A123" s="3">
        <v>0</v>
      </c>
      <c r="E123" s="1"/>
      <c r="F123" s="1"/>
      <c r="H123" s="1"/>
    </row>
    <row r="124" spans="1:8" x14ac:dyDescent="0.3">
      <c r="A124" s="3">
        <v>0</v>
      </c>
      <c r="E124" s="1"/>
      <c r="F124" s="1"/>
      <c r="H124" s="1"/>
    </row>
    <row r="125" spans="1:8" x14ac:dyDescent="0.3">
      <c r="A125" s="3">
        <v>0</v>
      </c>
      <c r="E125" s="1"/>
      <c r="F125" s="1"/>
      <c r="H125" s="1"/>
    </row>
    <row r="126" spans="1:8" x14ac:dyDescent="0.3">
      <c r="A126" s="3">
        <v>0</v>
      </c>
      <c r="E126" s="1"/>
      <c r="F126" s="1"/>
      <c r="H126" s="1"/>
    </row>
    <row r="127" spans="1:8" x14ac:dyDescent="0.3">
      <c r="A127" s="3">
        <v>0</v>
      </c>
      <c r="E127" s="1"/>
      <c r="F127" s="1"/>
      <c r="H127" s="1"/>
    </row>
    <row r="128" spans="1:8" x14ac:dyDescent="0.3">
      <c r="A128" s="3">
        <v>0</v>
      </c>
      <c r="E128" s="1"/>
      <c r="F128" s="1"/>
      <c r="H128" s="1"/>
    </row>
    <row r="129" spans="1:8" x14ac:dyDescent="0.3">
      <c r="A129" s="3">
        <v>0</v>
      </c>
      <c r="E129" s="1"/>
      <c r="F129" s="1"/>
      <c r="H129" s="1"/>
    </row>
    <row r="130" spans="1:8" x14ac:dyDescent="0.3">
      <c r="A130" s="3">
        <v>0</v>
      </c>
      <c r="E130" s="1"/>
      <c r="F130" s="1"/>
      <c r="H130" s="1"/>
    </row>
    <row r="131" spans="1:8" x14ac:dyDescent="0.3">
      <c r="A131" s="3">
        <v>0</v>
      </c>
      <c r="E131" s="1"/>
      <c r="F131" s="1"/>
      <c r="H131" s="1"/>
    </row>
    <row r="132" spans="1:8" x14ac:dyDescent="0.3">
      <c r="A132" s="3">
        <v>0</v>
      </c>
      <c r="E132" s="1"/>
      <c r="F132" s="1"/>
      <c r="H132" s="1"/>
    </row>
    <row r="133" spans="1:8" x14ac:dyDescent="0.3">
      <c r="A133" s="3">
        <v>0</v>
      </c>
      <c r="E133" s="1"/>
      <c r="F133" s="1"/>
      <c r="H133" s="1"/>
    </row>
    <row r="134" spans="1:8" x14ac:dyDescent="0.3">
      <c r="A134" s="3">
        <v>0</v>
      </c>
      <c r="E134" s="1"/>
      <c r="F134" s="1"/>
      <c r="H134" s="1"/>
    </row>
    <row r="135" spans="1:8" x14ac:dyDescent="0.3">
      <c r="A135" s="3">
        <v>0</v>
      </c>
      <c r="E135" s="1"/>
      <c r="F135" s="1"/>
      <c r="H135" s="1"/>
    </row>
    <row r="136" spans="1:8" x14ac:dyDescent="0.3">
      <c r="A136" s="3">
        <v>0</v>
      </c>
      <c r="E136" s="1"/>
      <c r="F136" s="1"/>
      <c r="H136" s="1"/>
    </row>
    <row r="137" spans="1:8" x14ac:dyDescent="0.3">
      <c r="A137" s="3">
        <v>0</v>
      </c>
      <c r="E137" s="1"/>
      <c r="F137" s="1"/>
      <c r="H137" s="1"/>
    </row>
    <row r="138" spans="1:8" x14ac:dyDescent="0.3">
      <c r="A138" s="3">
        <v>0</v>
      </c>
      <c r="E138" s="1"/>
      <c r="F138" s="1"/>
      <c r="H138" s="1"/>
    </row>
    <row r="139" spans="1:8" x14ac:dyDescent="0.3">
      <c r="A139" s="3">
        <v>0</v>
      </c>
      <c r="E139" s="1"/>
      <c r="F139" s="1"/>
      <c r="H139" s="1"/>
    </row>
    <row r="140" spans="1:8" x14ac:dyDescent="0.3">
      <c r="A140" s="3">
        <v>0</v>
      </c>
      <c r="E140" s="1"/>
      <c r="F140" s="1"/>
      <c r="H140" s="1"/>
    </row>
    <row r="141" spans="1:8" x14ac:dyDescent="0.3">
      <c r="A141" s="3">
        <v>0</v>
      </c>
      <c r="E141" s="1"/>
      <c r="F141" s="1"/>
      <c r="H141" s="1"/>
    </row>
    <row r="142" spans="1:8" x14ac:dyDescent="0.3">
      <c r="A142" s="3">
        <v>0</v>
      </c>
      <c r="E142" s="1"/>
      <c r="F142" s="1"/>
      <c r="H142" s="1"/>
    </row>
    <row r="143" spans="1:8" x14ac:dyDescent="0.3">
      <c r="A143" s="3">
        <v>0</v>
      </c>
      <c r="E143" s="1"/>
      <c r="F143" s="1"/>
      <c r="H143" s="1"/>
    </row>
    <row r="144" spans="1:8" x14ac:dyDescent="0.3">
      <c r="A144" s="3">
        <v>0</v>
      </c>
      <c r="E144" s="1"/>
      <c r="F144" s="1"/>
      <c r="H144" s="1"/>
    </row>
    <row r="145" spans="1:8" x14ac:dyDescent="0.3">
      <c r="A145" s="3">
        <v>0</v>
      </c>
      <c r="E145" s="1"/>
      <c r="F145" s="1"/>
      <c r="H145" s="1"/>
    </row>
    <row r="146" spans="1:8" x14ac:dyDescent="0.3">
      <c r="A146" s="3">
        <v>0</v>
      </c>
      <c r="E146" s="1"/>
      <c r="F146" s="1"/>
      <c r="H146" s="1"/>
    </row>
    <row r="147" spans="1:8" x14ac:dyDescent="0.3">
      <c r="A147" s="3">
        <v>0</v>
      </c>
      <c r="E147" s="1"/>
      <c r="F147" s="1"/>
      <c r="H147" s="1"/>
    </row>
    <row r="148" spans="1:8" x14ac:dyDescent="0.3">
      <c r="E148" s="1"/>
      <c r="F148" s="1"/>
      <c r="H148" s="1"/>
    </row>
    <row r="149" spans="1:8" x14ac:dyDescent="0.3">
      <c r="A149" s="3">
        <v>0</v>
      </c>
    </row>
    <row r="150" spans="1:8" x14ac:dyDescent="0.3">
      <c r="A150" s="3">
        <v>0</v>
      </c>
    </row>
    <row r="151" spans="1:8" x14ac:dyDescent="0.3">
      <c r="A151" s="3">
        <v>0</v>
      </c>
    </row>
    <row r="152" spans="1:8" x14ac:dyDescent="0.3">
      <c r="A152" s="3">
        <v>0</v>
      </c>
    </row>
    <row r="153" spans="1:8" x14ac:dyDescent="0.3">
      <c r="A153" s="3">
        <v>0</v>
      </c>
      <c r="F153" s="1"/>
    </row>
    <row r="154" spans="1:8" x14ac:dyDescent="0.3">
      <c r="A154" s="3">
        <v>0</v>
      </c>
    </row>
    <row r="155" spans="1:8" x14ac:dyDescent="0.3">
      <c r="A155" s="3">
        <v>0</v>
      </c>
    </row>
    <row r="156" spans="1:8" x14ac:dyDescent="0.3">
      <c r="A156" s="3">
        <v>0</v>
      </c>
    </row>
    <row r="157" spans="1:8" x14ac:dyDescent="0.3">
      <c r="A157" s="3">
        <v>0</v>
      </c>
      <c r="D157" s="1"/>
      <c r="E157" s="1"/>
      <c r="H157" s="12"/>
    </row>
  </sheetData>
  <autoFilter ref="A5:J34" xr:uid="{CF09641E-BDFB-4641-9834-C3A89D227975}">
    <sortState xmlns:xlrd2="http://schemas.microsoft.com/office/spreadsheetml/2017/richdata2" ref="A6:J88">
      <sortCondition ref="C5:C36"/>
    </sortState>
  </autoFilter>
  <phoneticPr fontId="2" type="noConversion"/>
  <hyperlinks>
    <hyperlink ref="B4" r:id="rId1" location="common_component_prefixes" display="Reference Designator" xr:uid="{F36204A0-49D8-4165-8C74-F6E91AC86320}"/>
  </hyperlinks>
  <pageMargins left="0.75" right="0.75" top="1" bottom="1" header="0.5" footer="0.5"/>
  <pageSetup orientation="landscape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59CE0-00F5-4859-8537-F4B5EB7CD0DC}">
  <dimension ref="A1:E18"/>
  <sheetViews>
    <sheetView workbookViewId="0">
      <selection activeCell="E18" sqref="A1:E18"/>
    </sheetView>
  </sheetViews>
  <sheetFormatPr defaultColWidth="8.88671875" defaultRowHeight="13.2" x14ac:dyDescent="0.25"/>
  <sheetData>
    <row r="1" spans="1:5" ht="15.6" x14ac:dyDescent="0.3">
      <c r="A1" s="3"/>
      <c r="B1" s="1"/>
      <c r="C1" s="1"/>
      <c r="D1" s="3"/>
      <c r="E1" s="1"/>
    </row>
    <row r="2" spans="1:5" ht="15.6" x14ac:dyDescent="0.3">
      <c r="A2" s="3"/>
      <c r="B2" s="1"/>
      <c r="C2" s="1"/>
      <c r="D2" s="3"/>
      <c r="E2" s="1"/>
    </row>
    <row r="3" spans="1:5" ht="15.6" x14ac:dyDescent="0.3">
      <c r="A3" s="3"/>
      <c r="B3" s="1"/>
      <c r="C3" s="1"/>
      <c r="D3" s="3"/>
      <c r="E3" s="1"/>
    </row>
    <row r="4" spans="1:5" ht="15.6" x14ac:dyDescent="0.3">
      <c r="A4" s="3"/>
      <c r="B4" s="1"/>
      <c r="C4" s="1"/>
      <c r="D4" s="3"/>
      <c r="E4" s="1"/>
    </row>
    <row r="5" spans="1:5" ht="15.6" x14ac:dyDescent="0.3">
      <c r="A5" s="3"/>
      <c r="B5" s="1"/>
      <c r="C5" s="1"/>
      <c r="D5" s="3"/>
      <c r="E5" s="1"/>
    </row>
    <row r="6" spans="1:5" ht="15.6" x14ac:dyDescent="0.3">
      <c r="A6" s="3"/>
      <c r="B6" s="1"/>
      <c r="C6" s="1"/>
      <c r="D6" s="3"/>
      <c r="E6" s="1"/>
    </row>
    <row r="7" spans="1:5" ht="15.6" x14ac:dyDescent="0.3">
      <c r="A7" s="3"/>
      <c r="B7" s="1"/>
      <c r="C7" s="1"/>
      <c r="D7" s="3"/>
      <c r="E7" s="1"/>
    </row>
    <row r="8" spans="1:5" ht="15.6" x14ac:dyDescent="0.3">
      <c r="A8" s="3"/>
      <c r="B8" s="1"/>
      <c r="C8" s="1"/>
      <c r="D8" s="3"/>
      <c r="E8" s="1"/>
    </row>
    <row r="9" spans="1:5" ht="15.6" x14ac:dyDescent="0.3">
      <c r="A9" s="3"/>
      <c r="B9" s="1"/>
      <c r="C9" s="1"/>
      <c r="D9" s="3"/>
      <c r="E9" s="1"/>
    </row>
    <row r="10" spans="1:5" ht="15.6" x14ac:dyDescent="0.3">
      <c r="A10" s="3"/>
      <c r="B10" s="1"/>
      <c r="C10" s="1"/>
      <c r="D10" s="3"/>
      <c r="E10" s="1"/>
    </row>
    <row r="11" spans="1:5" ht="15.6" x14ac:dyDescent="0.3">
      <c r="A11" s="3"/>
      <c r="B11" s="1"/>
      <c r="C11" s="1"/>
      <c r="D11" s="3"/>
      <c r="E11" s="1"/>
    </row>
    <row r="12" spans="1:5" ht="15.6" x14ac:dyDescent="0.3">
      <c r="A12" s="3"/>
      <c r="B12" s="1"/>
      <c r="C12" s="1"/>
      <c r="D12" s="3"/>
      <c r="E12" s="1"/>
    </row>
    <row r="13" spans="1:5" ht="15.6" x14ac:dyDescent="0.3">
      <c r="A13" s="3"/>
      <c r="B13" s="1"/>
      <c r="C13" s="1"/>
      <c r="D13" s="3"/>
      <c r="E13" s="1"/>
    </row>
    <row r="14" spans="1:5" ht="15.6" x14ac:dyDescent="0.3">
      <c r="A14" s="3"/>
      <c r="B14" s="1"/>
      <c r="C14" s="1"/>
      <c r="D14" s="3"/>
      <c r="E14" s="1"/>
    </row>
    <row r="15" spans="1:5" ht="15.6" x14ac:dyDescent="0.3">
      <c r="A15" s="3"/>
      <c r="B15" s="1"/>
      <c r="C15" s="1"/>
      <c r="D15" s="3"/>
      <c r="E15" s="1"/>
    </row>
    <row r="16" spans="1:5" ht="15.6" x14ac:dyDescent="0.3">
      <c r="A16" s="3"/>
      <c r="B16" s="1"/>
      <c r="C16" s="1"/>
      <c r="D16" s="3"/>
      <c r="E16" s="1"/>
    </row>
    <row r="17" spans="1:5" ht="15.6" x14ac:dyDescent="0.3">
      <c r="A17" s="3"/>
      <c r="B17" s="1"/>
      <c r="C17" s="1"/>
      <c r="D17" s="3"/>
      <c r="E17" s="1"/>
    </row>
    <row r="18" spans="1:5" ht="15.6" x14ac:dyDescent="0.3">
      <c r="A18" s="3"/>
      <c r="B18" s="1"/>
      <c r="C18" s="1"/>
      <c r="D18" s="3"/>
      <c r="E18" s="1"/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Valvano</dc:creator>
  <cp:lastModifiedBy>Toby Nguyen</cp:lastModifiedBy>
  <cp:lastPrinted>2015-07-07T18:09:59Z</cp:lastPrinted>
  <dcterms:created xsi:type="dcterms:W3CDTF">2009-08-17T02:38:02Z</dcterms:created>
  <dcterms:modified xsi:type="dcterms:W3CDTF">2026-03-28T02:06:18Z</dcterms:modified>
</cp:coreProperties>
</file>